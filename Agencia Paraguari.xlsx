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zayas\Desktop\"/>
    </mc:Choice>
  </mc:AlternateContent>
  <xr:revisionPtr revIDLastSave="0" documentId="13_ncr:1_{B0EEE783-6FA0-425F-BC0D-C8AAA40D5D5A}" xr6:coauthVersionLast="47" xr6:coauthVersionMax="47" xr10:uidLastSave="{00000000-0000-0000-0000-000000000000}"/>
  <bookViews>
    <workbookView minimized="1" xWindow="4920" yWindow="1215" windowWidth="13785" windowHeight="10605" xr2:uid="{00000000-000D-0000-FFFF-FFFF00000000}"/>
  </bookViews>
  <sheets>
    <sheet name="Hoja1" sheetId="1" r:id="rId1"/>
    <sheet name="NISE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F10" i="2"/>
  <c r="F11" i="2"/>
  <c r="F9" i="2"/>
  <c r="F8" i="2"/>
  <c r="F7" i="2"/>
  <c r="F6" i="2"/>
  <c r="F5" i="2"/>
  <c r="F41" i="1"/>
  <c r="F56" i="1"/>
  <c r="F25" i="1"/>
  <c r="F46" i="1"/>
  <c r="F47" i="1"/>
  <c r="F48" i="1"/>
  <c r="F49" i="1"/>
  <c r="F50" i="1"/>
  <c r="F51" i="1"/>
  <c r="F52" i="1"/>
  <c r="F53" i="1"/>
  <c r="F45" i="1"/>
  <c r="F44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19" i="1"/>
  <c r="F20" i="1"/>
  <c r="F21" i="1"/>
  <c r="F22" i="1"/>
  <c r="F23" i="1"/>
  <c r="F15" i="1"/>
  <c r="F16" i="1"/>
  <c r="F17" i="1"/>
  <c r="F18" i="1"/>
  <c r="F6" i="1"/>
  <c r="F7" i="1"/>
  <c r="F8" i="1"/>
  <c r="F9" i="1"/>
  <c r="F10" i="1"/>
  <c r="F11" i="1"/>
  <c r="F12" i="1"/>
  <c r="F13" i="1"/>
  <c r="F14" i="1"/>
  <c r="F5" i="1"/>
  <c r="F54" i="1" l="1"/>
</calcChain>
</file>

<file path=xl/sharedStrings.xml><?xml version="1.0" encoding="utf-8"?>
<sst xmlns="http://schemas.openxmlformats.org/spreadsheetml/2006/main" count="140" uniqueCount="76">
  <si>
    <t>VIDEO</t>
  </si>
  <si>
    <t>NVR 16 CANALES</t>
  </si>
  <si>
    <t>DISCO HDD 4 TB</t>
  </si>
  <si>
    <t>SWITCH 8 PUERTOS</t>
  </si>
  <si>
    <t>CAMARA IP TORRE</t>
  </si>
  <si>
    <t>CAMARA IP BULLET</t>
  </si>
  <si>
    <t>CABLE DE EXTERIOR 100M</t>
  </si>
  <si>
    <t>CAJAS 10*10</t>
  </si>
  <si>
    <t xml:space="preserve">PACHERA </t>
  </si>
  <si>
    <t>UPS 2000</t>
  </si>
  <si>
    <t>RJ 45</t>
  </si>
  <si>
    <t>DATOS</t>
  </si>
  <si>
    <t>SWITCH 16</t>
  </si>
  <si>
    <t>JACK DE RED</t>
  </si>
  <si>
    <t>CAJA  RED *2</t>
  </si>
  <si>
    <t>CAJA RED *1</t>
  </si>
  <si>
    <t>PACHERA</t>
  </si>
  <si>
    <t>CABLE UTP CAT5E 100M</t>
  </si>
  <si>
    <t>DUCTOS</t>
  </si>
  <si>
    <t>NARANJA 20MM</t>
  </si>
  <si>
    <t>GRIS 25 MM</t>
  </si>
  <si>
    <t>GRIS 20 MM</t>
  </si>
  <si>
    <t>CODO NAR. 20MM</t>
  </si>
  <si>
    <t>CODO GRIS 25 MM</t>
  </si>
  <si>
    <t>CODO GRIS 20 MM</t>
  </si>
  <si>
    <t>SOPERTE 25 MM</t>
  </si>
  <si>
    <t>SOPORTE 20 MM</t>
  </si>
  <si>
    <t>SOPORTE METAL 20MM</t>
  </si>
  <si>
    <t>CANALETA (20*20)</t>
  </si>
  <si>
    <t>TORNILLERIA</t>
  </si>
  <si>
    <t>UND</t>
  </si>
  <si>
    <t>MATERIAL</t>
  </si>
  <si>
    <t>CANT.</t>
  </si>
  <si>
    <t>U.M.</t>
  </si>
  <si>
    <t>PRECIO</t>
  </si>
  <si>
    <t>SUB-TOTAL</t>
  </si>
  <si>
    <t>https://nissei.com/py/conmutador-poe-hikvision-ds-3e1309p-ei-m-poe-inteligente-fast-ethernet-de-8-puertos</t>
  </si>
  <si>
    <t>https://nissei.com/py/cctv-de-vigilancia-nvr-hikvision-ds-7616ni-q2-16-ch-4k-ultra-hd-negro?srsltid=AfmBOoqcdpC-oDsJqALuUdauAfWQdl5nW1sGHLiCyL-EFIMu6oyiL74P</t>
  </si>
  <si>
    <t>https://nissei.com/py/camara-de-vigilancia-hikvision-ip-domo-ds-2cd1323g2-liu-2mp-blanco-negro</t>
  </si>
  <si>
    <t>https://nissei.com/py/camara-de-vigilancia-ip-hikvision-ds-2cd1023g0e-i-1080p-externo-blanco-negro</t>
  </si>
  <si>
    <t>MTS</t>
  </si>
  <si>
    <t>https://fonoluz.com.py/producto/cable-utp-cat6-interior-exterior-norphel-100-cobre-por-metro/</t>
  </si>
  <si>
    <t>https://www.electropar.com.py/producto/ficha-rj45-cat5e-conexion-rapida-argo?srsltid=AfmBOooxwk64uA4mWrB6WQu5czwtvImR1CfJIrCjh2omN6qCmqHgaZVD</t>
  </si>
  <si>
    <t>https://www.informatica.com.py/</t>
  </si>
  <si>
    <t>https://nissei.com/py/switch-para-escritorio-tp-link-tl-sg1016d-de-16-puertos-10-100-1000-mbps?srsltid=AfmBOopKktzX3ORKiH4Nbilfld2aTOr-tXkCxYd3BdUT5bNxdkVJUufu</t>
  </si>
  <si>
    <t>https://www.luminotecnia.com.py/producto/2427/jack-rj45-categoria-6-azul</t>
  </si>
  <si>
    <t>https://www.luminotecnia.com.py/producto/983/caja-externa-2-modulo-rj45-blanca</t>
  </si>
  <si>
    <t>https://www.electropar.com.py/producto/cano-conduit-25mmx-3mts-gris-tigre?srsltid=AfmBOoqAQEHF7Q8vtyPdjwEISOnDXgbjkvfSCE0gw1LxCZNE8L6pEwdA</t>
  </si>
  <si>
    <t>https://www.electropar.com.py/producto/cano-conduit-20-mm-x-3m-gris-argo?srsltid=AfmBOoqqjqOQFwBt9ZFLzlauZwrgVZueVzitydn272XBQbjEp_i4V8pA</t>
  </si>
  <si>
    <t>https://www.luminotecnia.com.py/producto/1034/cano-electroducto-conduit-3mts-20mm-tigre</t>
  </si>
  <si>
    <t>https://www.electropar.com.py/producto/curva-conduit-90-20mm-gris-tigre</t>
  </si>
  <si>
    <t>https://www.electropar.com.py/producto/curva-conduit-90-25mm-gris-tigre</t>
  </si>
  <si>
    <t>https://www.electropar.com.py/producto/curva-conduit-20mm-90-naranja-argo</t>
  </si>
  <si>
    <t>https://fonoluz.com.py/producto/abrazadera-tipo-d-3-4-c-tornillo-metal/</t>
  </si>
  <si>
    <t>CANALETA DE PISO X 2 MTS</t>
  </si>
  <si>
    <t>https://www.electropar.com.py/producto/canal-para-cable-18x21mm-en-tira-de-2-metros-con-adhesivo</t>
  </si>
  <si>
    <t>https://fonoluz.com.py/wp-content/uploads/2024/05/75x15-cable-canal-piso-300x300.jpg</t>
  </si>
  <si>
    <t>CAJA</t>
  </si>
  <si>
    <t>MONITOR</t>
  </si>
  <si>
    <t>UPS</t>
  </si>
  <si>
    <t>IMPRESORA TICKETERA</t>
  </si>
  <si>
    <t>ZAPATILLA</t>
  </si>
  <si>
    <t>ROUTER FORTINET 60F</t>
  </si>
  <si>
    <t>IMPRESORA LASER brother</t>
  </si>
  <si>
    <t>https://nissei.com/py/impresora-laser-compacta-brother-hl-1200-220v-blanco?srsltid=AfmBOor1txWNKY3SN2jTtmOkENvCuqLbPw1P4Nn3wrZJhfkTFLNl-ztx</t>
  </si>
  <si>
    <t>TOTAL VIDEO, DATOS DUCTOS</t>
  </si>
  <si>
    <t>TOTAL CAJA</t>
  </si>
  <si>
    <t>PC (I3, 8GB, 240SSD)</t>
  </si>
  <si>
    <t>LICNECIA WINDOWS 11 PRO</t>
  </si>
  <si>
    <t>RELOJ MARCADOR BIOMETRICO</t>
  </si>
  <si>
    <t>TOTAL GLOBAL</t>
  </si>
  <si>
    <t>https://www.digi.com.py/marca/zkteco?srsltid=AfmBOoobPnfmPO7NYfABmx0ozej2Xp5PsxNup7ysFLRc2CZjBtOhS7BE</t>
  </si>
  <si>
    <t>https://nissei.com/py/disco-duro-de-vigilancia-western-digital-wd-purple</t>
  </si>
  <si>
    <t>IPS APS POWER 2000</t>
  </si>
  <si>
    <t>https://nissei.com/py/ups-aps-power-vista-2000-1200-w-220v-negro</t>
  </si>
  <si>
    <t>PC-121414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</si>
</sst>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164" fontId="0" fillId="2" borderId="0" xfId="0" applyNumberFormat="1" applyFill="1"/>
    <xf numFmtId="0" fontId="2" fillId="3" borderId="0" xfId="0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0" fontId="0" fillId="4" borderId="0" xfId="0" applyFill="1"/>
    <xf numFmtId="164" fontId="0" fillId="4" borderId="0" xfId="1" applyNumberFormat="1" applyFont="1" applyFill="1"/>
    <xf numFmtId="164" fontId="0" fillId="4" borderId="0" xfId="0" applyNumberFormat="1" applyFill="1"/>
    <xf numFmtId="0" fontId="3" fillId="0" borderId="0" xfId="2"/>
    <xf numFmtId="0" fontId="0" fillId="0" borderId="0" xfId="0" applyAlignment="1">
      <alignment horizontal="right"/>
    </xf>
    <xf numFmtId="0" fontId="2" fillId="3" borderId="0" xfId="0" applyFont="1" applyFill="1" applyAlignment="1">
      <alignment horizontal="left"/>
    </xf>
    <xf numFmtId="0" fontId="3" fillId="4" borderId="0" xfId="2" applyFill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issei.com/py/impresora-laser-compacta-brother-hl-1200-220v-blanco?srsltid=AfmBOor1txWNKY3SN2jTtmOkENvCuqLbPw1P4Nn3wrZJhfkTFLNl-ztx" TargetMode="External"/><Relationship Id="rId2" Type="http://schemas.openxmlformats.org/officeDocument/2006/relationships/hyperlink" Target="https://www.digi.com.py/marca/zkteco?srsltid=AfmBOoobPnfmPO7NYfABmx0ozej2Xp5PsxNup7ysFLRc2CZjBtOhS7BE" TargetMode="External"/><Relationship Id="rId1" Type="http://schemas.openxmlformats.org/officeDocument/2006/relationships/hyperlink" Target="https://nissei.com/py/conmutador-poe-hikvision-ds-3e1309p-ei-m-poe-inteligente-fast-ethernet-de-8-puerto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issei.com/py/cctv-de-vigilancia-nvr-hikvision-ds-7616ni-q2-16-ch-4k-ultra-hd-negro?srsltid=AfmBOoqcdpC-oDsJqALuUdauAfWQdl5nW1sGHLiCyL-EFIMu6oyiL74P" TargetMode="External"/><Relationship Id="rId1" Type="http://schemas.openxmlformats.org/officeDocument/2006/relationships/hyperlink" Target="https://nissei.com/py/conmutador-poe-hikvision-ds-3e1309p-ei-m-poe-inteligente-fast-ethernet-de-8-puer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56"/>
  <sheetViews>
    <sheetView tabSelected="1" topLeftCell="B13" workbookViewId="0">
      <selection activeCell="H50" sqref="H50"/>
    </sheetView>
  </sheetViews>
  <sheetFormatPr baseColWidth="10" defaultColWidth="9.140625" defaultRowHeight="15" x14ac:dyDescent="0.25"/>
  <cols>
    <col min="2" max="2" width="26.28515625" customWidth="1"/>
    <col min="5" max="5" width="14.140625" style="1" bestFit="1" customWidth="1"/>
    <col min="6" max="6" width="13.140625" bestFit="1" customWidth="1"/>
  </cols>
  <sheetData>
    <row r="3" spans="2:8" x14ac:dyDescent="0.25">
      <c r="B3" s="6" t="s">
        <v>31</v>
      </c>
      <c r="C3" s="6" t="s">
        <v>32</v>
      </c>
      <c r="D3" s="6" t="s">
        <v>33</v>
      </c>
      <c r="E3" s="7" t="s">
        <v>34</v>
      </c>
      <c r="F3" s="6" t="s">
        <v>35</v>
      </c>
    </row>
    <row r="4" spans="2:8" x14ac:dyDescent="0.25">
      <c r="B4" s="3" t="s">
        <v>0</v>
      </c>
      <c r="C4" s="3"/>
      <c r="D4" s="3"/>
      <c r="E4" s="4"/>
      <c r="F4" s="3"/>
    </row>
    <row r="5" spans="2:8" s="8" customFormat="1" x14ac:dyDescent="0.25">
      <c r="B5" s="8" t="s">
        <v>1</v>
      </c>
      <c r="C5" s="8">
        <v>1</v>
      </c>
      <c r="D5" s="8" t="s">
        <v>30</v>
      </c>
      <c r="E5" s="9">
        <v>739000</v>
      </c>
      <c r="F5" s="10">
        <f>C5*E5</f>
        <v>739000</v>
      </c>
      <c r="H5" s="8" t="s">
        <v>37</v>
      </c>
    </row>
    <row r="6" spans="2:8" s="8" customFormat="1" x14ac:dyDescent="0.25">
      <c r="B6" s="8" t="s">
        <v>2</v>
      </c>
      <c r="C6" s="8">
        <v>1</v>
      </c>
      <c r="D6" s="8" t="s">
        <v>30</v>
      </c>
      <c r="E6" s="9">
        <v>740000</v>
      </c>
      <c r="F6" s="10">
        <f t="shared" ref="F6:F39" si="0">C6*E6</f>
        <v>740000</v>
      </c>
    </row>
    <row r="7" spans="2:8" s="8" customFormat="1" x14ac:dyDescent="0.25">
      <c r="B7" s="8" t="s">
        <v>3</v>
      </c>
      <c r="C7" s="8">
        <v>1</v>
      </c>
      <c r="D7" s="8" t="s">
        <v>30</v>
      </c>
      <c r="E7" s="9">
        <v>360000</v>
      </c>
      <c r="F7" s="10">
        <f t="shared" si="0"/>
        <v>360000</v>
      </c>
      <c r="H7" s="14" t="s">
        <v>36</v>
      </c>
    </row>
    <row r="8" spans="2:8" s="8" customFormat="1" x14ac:dyDescent="0.25">
      <c r="B8" s="8" t="s">
        <v>4</v>
      </c>
      <c r="C8" s="8">
        <v>4</v>
      </c>
      <c r="D8" s="8" t="s">
        <v>30</v>
      </c>
      <c r="E8" s="9">
        <v>378000</v>
      </c>
      <c r="F8" s="10">
        <f t="shared" si="0"/>
        <v>1512000</v>
      </c>
      <c r="H8" s="8" t="s">
        <v>38</v>
      </c>
    </row>
    <row r="9" spans="2:8" s="8" customFormat="1" x14ac:dyDescent="0.25">
      <c r="B9" s="8" t="s">
        <v>5</v>
      </c>
      <c r="C9" s="8">
        <v>4</v>
      </c>
      <c r="D9" s="8" t="s">
        <v>30</v>
      </c>
      <c r="E9" s="9">
        <v>299000</v>
      </c>
      <c r="F9" s="10">
        <f t="shared" si="0"/>
        <v>1196000</v>
      </c>
      <c r="H9" s="8" t="s">
        <v>39</v>
      </c>
    </row>
    <row r="10" spans="2:8" s="8" customFormat="1" x14ac:dyDescent="0.25">
      <c r="B10" s="8" t="s">
        <v>6</v>
      </c>
      <c r="C10" s="8">
        <v>200</v>
      </c>
      <c r="D10" s="8" t="s">
        <v>40</v>
      </c>
      <c r="E10" s="9">
        <v>3360</v>
      </c>
      <c r="F10" s="10">
        <f t="shared" si="0"/>
        <v>672000</v>
      </c>
    </row>
    <row r="11" spans="2:8" s="8" customFormat="1" x14ac:dyDescent="0.25">
      <c r="B11" s="8" t="s">
        <v>7</v>
      </c>
      <c r="C11" s="8">
        <v>15</v>
      </c>
      <c r="D11" s="8" t="s">
        <v>30</v>
      </c>
      <c r="E11" s="9">
        <v>15000</v>
      </c>
      <c r="F11" s="10">
        <f t="shared" si="0"/>
        <v>225000</v>
      </c>
    </row>
    <row r="12" spans="2:8" s="8" customFormat="1" x14ac:dyDescent="0.25">
      <c r="B12" s="8" t="s">
        <v>8</v>
      </c>
      <c r="C12" s="8">
        <v>1</v>
      </c>
      <c r="D12" s="8" t="s">
        <v>30</v>
      </c>
      <c r="E12" s="9">
        <v>0</v>
      </c>
      <c r="F12" s="10">
        <f t="shared" si="0"/>
        <v>0</v>
      </c>
    </row>
    <row r="13" spans="2:8" s="8" customFormat="1" x14ac:dyDescent="0.25">
      <c r="B13" s="8" t="s">
        <v>9</v>
      </c>
      <c r="C13" s="8">
        <v>1</v>
      </c>
      <c r="D13" s="8" t="s">
        <v>30</v>
      </c>
      <c r="E13" s="9">
        <v>1083000</v>
      </c>
      <c r="F13" s="10">
        <f t="shared" si="0"/>
        <v>1083000</v>
      </c>
      <c r="H13" s="8" t="s">
        <v>43</v>
      </c>
    </row>
    <row r="14" spans="2:8" s="8" customFormat="1" x14ac:dyDescent="0.25">
      <c r="B14" s="8" t="s">
        <v>10</v>
      </c>
      <c r="C14" s="8">
        <v>100</v>
      </c>
      <c r="D14" s="8" t="s">
        <v>30</v>
      </c>
      <c r="E14" s="9">
        <v>1410</v>
      </c>
      <c r="F14" s="10">
        <f t="shared" si="0"/>
        <v>141000</v>
      </c>
      <c r="H14" s="8" t="s">
        <v>42</v>
      </c>
    </row>
    <row r="15" spans="2:8" x14ac:dyDescent="0.25">
      <c r="B15" t="s">
        <v>61</v>
      </c>
      <c r="C15">
        <v>2</v>
      </c>
      <c r="D15" t="s">
        <v>30</v>
      </c>
      <c r="E15" s="1">
        <v>33000</v>
      </c>
      <c r="F15" s="2">
        <f t="shared" si="0"/>
        <v>66000</v>
      </c>
    </row>
    <row r="16" spans="2:8" x14ac:dyDescent="0.25">
      <c r="F16" s="2">
        <f t="shared" si="0"/>
        <v>0</v>
      </c>
    </row>
    <row r="17" spans="2:8" x14ac:dyDescent="0.25">
      <c r="B17" s="3" t="s">
        <v>11</v>
      </c>
      <c r="C17" s="3"/>
      <c r="D17" s="3"/>
      <c r="E17" s="4"/>
      <c r="F17" s="5">
        <f t="shared" si="0"/>
        <v>0</v>
      </c>
    </row>
    <row r="18" spans="2:8" s="8" customFormat="1" x14ac:dyDescent="0.25">
      <c r="B18" s="8" t="s">
        <v>12</v>
      </c>
      <c r="C18" s="8">
        <v>1</v>
      </c>
      <c r="D18" s="8" t="s">
        <v>30</v>
      </c>
      <c r="E18" s="9">
        <v>510000</v>
      </c>
      <c r="F18" s="10">
        <f t="shared" si="0"/>
        <v>510000</v>
      </c>
      <c r="H18" s="8" t="s">
        <v>44</v>
      </c>
    </row>
    <row r="19" spans="2:8" s="8" customFormat="1" x14ac:dyDescent="0.25">
      <c r="B19" s="8" t="s">
        <v>13</v>
      </c>
      <c r="C19" s="8">
        <v>7</v>
      </c>
      <c r="D19" s="8" t="s">
        <v>30</v>
      </c>
      <c r="E19" s="9">
        <v>14300</v>
      </c>
      <c r="F19" s="10">
        <f t="shared" si="0"/>
        <v>100100</v>
      </c>
      <c r="H19" s="8" t="s">
        <v>45</v>
      </c>
    </row>
    <row r="20" spans="2:8" s="8" customFormat="1" x14ac:dyDescent="0.25">
      <c r="B20" s="8" t="s">
        <v>14</v>
      </c>
      <c r="C20" s="8">
        <v>2</v>
      </c>
      <c r="D20" s="8" t="s">
        <v>30</v>
      </c>
      <c r="E20" s="9">
        <v>18900</v>
      </c>
      <c r="F20" s="10">
        <f t="shared" si="0"/>
        <v>37800</v>
      </c>
      <c r="H20" s="8" t="s">
        <v>46</v>
      </c>
    </row>
    <row r="21" spans="2:8" s="8" customFormat="1" x14ac:dyDescent="0.25">
      <c r="B21" s="8" t="s">
        <v>15</v>
      </c>
      <c r="C21" s="8">
        <v>3</v>
      </c>
      <c r="D21" s="8" t="s">
        <v>30</v>
      </c>
      <c r="E21" s="9">
        <v>18900</v>
      </c>
      <c r="F21" s="10">
        <f t="shared" si="0"/>
        <v>56700</v>
      </c>
      <c r="H21" s="8" t="s">
        <v>46</v>
      </c>
    </row>
    <row r="22" spans="2:8" s="8" customFormat="1" x14ac:dyDescent="0.25">
      <c r="B22" s="8" t="s">
        <v>16</v>
      </c>
      <c r="C22" s="8">
        <v>1</v>
      </c>
      <c r="D22" s="8" t="s">
        <v>30</v>
      </c>
      <c r="E22" s="9">
        <v>0</v>
      </c>
      <c r="F22" s="10">
        <f t="shared" si="0"/>
        <v>0</v>
      </c>
    </row>
    <row r="23" spans="2:8" s="8" customFormat="1" x14ac:dyDescent="0.25">
      <c r="B23" s="8" t="s">
        <v>17</v>
      </c>
      <c r="C23" s="8">
        <v>200</v>
      </c>
      <c r="D23" s="8" t="s">
        <v>40</v>
      </c>
      <c r="E23" s="9">
        <v>3200</v>
      </c>
      <c r="F23" s="10">
        <f t="shared" si="0"/>
        <v>640000</v>
      </c>
      <c r="H23" s="8" t="s">
        <v>41</v>
      </c>
    </row>
    <row r="24" spans="2:8" s="8" customFormat="1" x14ac:dyDescent="0.25">
      <c r="B24" s="8" t="s">
        <v>62</v>
      </c>
      <c r="C24" s="8">
        <v>1</v>
      </c>
      <c r="D24" s="8" t="s">
        <v>30</v>
      </c>
      <c r="E24" s="9">
        <v>7201920</v>
      </c>
      <c r="F24" s="10">
        <f t="shared" si="0"/>
        <v>7201920</v>
      </c>
      <c r="H24" s="8">
        <v>426</v>
      </c>
    </row>
    <row r="25" spans="2:8" x14ac:dyDescent="0.25">
      <c r="B25" t="s">
        <v>69</v>
      </c>
      <c r="C25">
        <v>1</v>
      </c>
      <c r="D25" t="s">
        <v>30</v>
      </c>
      <c r="E25" s="1">
        <v>1000000</v>
      </c>
      <c r="F25" s="2">
        <f t="shared" si="0"/>
        <v>1000000</v>
      </c>
      <c r="H25" s="11" t="s">
        <v>71</v>
      </c>
    </row>
    <row r="26" spans="2:8" x14ac:dyDescent="0.25">
      <c r="F26" s="2">
        <f t="shared" si="0"/>
        <v>0</v>
      </c>
    </row>
    <row r="27" spans="2:8" x14ac:dyDescent="0.25">
      <c r="B27" s="3" t="s">
        <v>18</v>
      </c>
      <c r="C27" s="3"/>
      <c r="D27" s="3"/>
      <c r="E27" s="4"/>
      <c r="F27" s="5">
        <f t="shared" si="0"/>
        <v>0</v>
      </c>
    </row>
    <row r="28" spans="2:8" s="8" customFormat="1" x14ac:dyDescent="0.25">
      <c r="B28" s="8" t="s">
        <v>19</v>
      </c>
      <c r="C28" s="8">
        <v>7</v>
      </c>
      <c r="D28" s="8" t="s">
        <v>30</v>
      </c>
      <c r="E28" s="9">
        <v>9200</v>
      </c>
      <c r="F28" s="10">
        <f t="shared" si="0"/>
        <v>64400</v>
      </c>
      <c r="H28" s="8" t="s">
        <v>49</v>
      </c>
    </row>
    <row r="29" spans="2:8" s="8" customFormat="1" x14ac:dyDescent="0.25">
      <c r="B29" s="8" t="s">
        <v>20</v>
      </c>
      <c r="C29" s="8">
        <v>7</v>
      </c>
      <c r="D29" s="8" t="s">
        <v>30</v>
      </c>
      <c r="E29" s="9">
        <v>10263</v>
      </c>
      <c r="F29" s="10">
        <f t="shared" si="0"/>
        <v>71841</v>
      </c>
      <c r="H29" s="8" t="s">
        <v>47</v>
      </c>
    </row>
    <row r="30" spans="2:8" s="8" customFormat="1" x14ac:dyDescent="0.25">
      <c r="B30" s="8" t="s">
        <v>21</v>
      </c>
      <c r="C30" s="8">
        <v>7</v>
      </c>
      <c r="D30" s="8" t="s">
        <v>30</v>
      </c>
      <c r="E30" s="9">
        <v>9978</v>
      </c>
      <c r="F30" s="10">
        <f t="shared" si="0"/>
        <v>69846</v>
      </c>
      <c r="H30" s="8" t="s">
        <v>48</v>
      </c>
    </row>
    <row r="31" spans="2:8" s="8" customFormat="1" x14ac:dyDescent="0.25">
      <c r="B31" s="8" t="s">
        <v>22</v>
      </c>
      <c r="C31" s="8">
        <v>2</v>
      </c>
      <c r="D31" s="8" t="s">
        <v>30</v>
      </c>
      <c r="E31" s="9">
        <v>1603</v>
      </c>
      <c r="F31" s="10">
        <f t="shared" si="0"/>
        <v>3206</v>
      </c>
      <c r="H31" s="8" t="s">
        <v>52</v>
      </c>
    </row>
    <row r="32" spans="2:8" s="8" customFormat="1" x14ac:dyDescent="0.25">
      <c r="B32" s="8" t="s">
        <v>23</v>
      </c>
      <c r="C32" s="8">
        <v>2</v>
      </c>
      <c r="D32" s="8" t="s">
        <v>30</v>
      </c>
      <c r="E32" s="9">
        <v>2455</v>
      </c>
      <c r="F32" s="10">
        <f t="shared" si="0"/>
        <v>4910</v>
      </c>
      <c r="H32" s="8" t="s">
        <v>51</v>
      </c>
    </row>
    <row r="33" spans="2:8" s="8" customFormat="1" x14ac:dyDescent="0.25">
      <c r="B33" s="8" t="s">
        <v>24</v>
      </c>
      <c r="C33" s="8">
        <v>2</v>
      </c>
      <c r="D33" s="8" t="s">
        <v>30</v>
      </c>
      <c r="E33" s="9">
        <v>1725</v>
      </c>
      <c r="F33" s="10">
        <f t="shared" si="0"/>
        <v>3450</v>
      </c>
      <c r="H33" s="8" t="s">
        <v>50</v>
      </c>
    </row>
    <row r="34" spans="2:8" s="8" customFormat="1" x14ac:dyDescent="0.25">
      <c r="B34" s="8" t="s">
        <v>25</v>
      </c>
      <c r="C34" s="8">
        <v>25</v>
      </c>
      <c r="D34" s="8" t="s">
        <v>30</v>
      </c>
      <c r="E34" s="9">
        <v>2500</v>
      </c>
      <c r="F34" s="10">
        <f t="shared" si="0"/>
        <v>62500</v>
      </c>
    </row>
    <row r="35" spans="2:8" s="8" customFormat="1" x14ac:dyDescent="0.25">
      <c r="B35" s="8" t="s">
        <v>26</v>
      </c>
      <c r="C35" s="8">
        <v>25</v>
      </c>
      <c r="D35" s="8" t="s">
        <v>30</v>
      </c>
      <c r="E35" s="9">
        <v>2500</v>
      </c>
      <c r="F35" s="10">
        <f t="shared" si="0"/>
        <v>62500</v>
      </c>
    </row>
    <row r="36" spans="2:8" s="8" customFormat="1" x14ac:dyDescent="0.25">
      <c r="B36" s="8" t="s">
        <v>27</v>
      </c>
      <c r="C36" s="8">
        <v>15</v>
      </c>
      <c r="D36" s="8" t="s">
        <v>30</v>
      </c>
      <c r="E36" s="9">
        <v>1500</v>
      </c>
      <c r="F36" s="10">
        <f t="shared" si="0"/>
        <v>22500</v>
      </c>
      <c r="H36" s="8" t="s">
        <v>53</v>
      </c>
    </row>
    <row r="37" spans="2:8" s="8" customFormat="1" x14ac:dyDescent="0.25">
      <c r="B37" s="8" t="s">
        <v>28</v>
      </c>
      <c r="C37" s="8">
        <v>4</v>
      </c>
      <c r="D37" s="8" t="s">
        <v>30</v>
      </c>
      <c r="E37" s="9">
        <v>20000</v>
      </c>
      <c r="F37" s="10">
        <f t="shared" si="0"/>
        <v>80000</v>
      </c>
      <c r="H37" s="8" t="s">
        <v>55</v>
      </c>
    </row>
    <row r="38" spans="2:8" s="8" customFormat="1" x14ac:dyDescent="0.25">
      <c r="B38" s="8" t="s">
        <v>54</v>
      </c>
      <c r="C38" s="8">
        <v>1</v>
      </c>
      <c r="D38" s="8" t="s">
        <v>30</v>
      </c>
      <c r="E38" s="9">
        <v>52000</v>
      </c>
      <c r="F38" s="10">
        <f t="shared" si="0"/>
        <v>52000</v>
      </c>
      <c r="H38" s="8" t="s">
        <v>56</v>
      </c>
    </row>
    <row r="39" spans="2:8" s="8" customFormat="1" x14ac:dyDescent="0.25">
      <c r="B39" s="8" t="s">
        <v>29</v>
      </c>
      <c r="C39" s="8">
        <v>1</v>
      </c>
      <c r="D39" s="8" t="s">
        <v>30</v>
      </c>
      <c r="E39" s="9">
        <v>50000</v>
      </c>
      <c r="F39" s="10">
        <f t="shared" si="0"/>
        <v>50000</v>
      </c>
    </row>
    <row r="41" spans="2:8" x14ac:dyDescent="0.25">
      <c r="B41" s="13" t="s">
        <v>65</v>
      </c>
      <c r="C41" s="13"/>
      <c r="D41" s="13"/>
      <c r="E41" s="13"/>
      <c r="F41" s="7">
        <f>SUM(F5:F40)</f>
        <v>16827673</v>
      </c>
    </row>
    <row r="44" spans="2:8" x14ac:dyDescent="0.25">
      <c r="B44" s="3" t="s">
        <v>57</v>
      </c>
      <c r="C44" s="3"/>
      <c r="D44" s="3"/>
      <c r="E44" s="4"/>
      <c r="F44" s="5">
        <f t="shared" ref="F44" si="1">C44*E44</f>
        <v>0</v>
      </c>
    </row>
    <row r="45" spans="2:8" x14ac:dyDescent="0.25">
      <c r="B45" t="s">
        <v>67</v>
      </c>
      <c r="C45">
        <v>1</v>
      </c>
      <c r="D45" t="s">
        <v>30</v>
      </c>
      <c r="E45" s="1">
        <v>2272000</v>
      </c>
      <c r="F45" s="2">
        <f>(C45*E45)</f>
        <v>2272000</v>
      </c>
    </row>
    <row r="46" spans="2:8" x14ac:dyDescent="0.25">
      <c r="B46" t="s">
        <v>58</v>
      </c>
      <c r="C46">
        <v>1</v>
      </c>
      <c r="D46" t="s">
        <v>30</v>
      </c>
      <c r="E46" s="1">
        <v>540000</v>
      </c>
      <c r="F46" s="2">
        <f t="shared" ref="F46:F53" si="2">(C46*E46)</f>
        <v>540000</v>
      </c>
    </row>
    <row r="47" spans="2:8" x14ac:dyDescent="0.25">
      <c r="B47" t="s">
        <v>59</v>
      </c>
      <c r="C47">
        <v>1</v>
      </c>
      <c r="D47" t="s">
        <v>30</v>
      </c>
      <c r="E47" s="1">
        <v>370000</v>
      </c>
      <c r="F47" s="2">
        <f t="shared" si="2"/>
        <v>370000</v>
      </c>
    </row>
    <row r="48" spans="2:8" x14ac:dyDescent="0.25">
      <c r="B48" t="s">
        <v>68</v>
      </c>
      <c r="C48">
        <v>1</v>
      </c>
      <c r="D48" t="s">
        <v>30</v>
      </c>
      <c r="E48" s="1">
        <v>1311000</v>
      </c>
      <c r="F48" s="2">
        <f t="shared" si="2"/>
        <v>1311000</v>
      </c>
    </row>
    <row r="49" spans="2:8" x14ac:dyDescent="0.25">
      <c r="B49" t="s">
        <v>63</v>
      </c>
      <c r="C49">
        <v>1</v>
      </c>
      <c r="D49" t="s">
        <v>30</v>
      </c>
      <c r="E49" s="1">
        <v>749000</v>
      </c>
      <c r="F49" s="2">
        <f t="shared" si="2"/>
        <v>749000</v>
      </c>
      <c r="H49" t="s">
        <v>64</v>
      </c>
    </row>
    <row r="50" spans="2:8" x14ac:dyDescent="0.25">
      <c r="B50" t="s">
        <v>60</v>
      </c>
      <c r="C50">
        <v>1</v>
      </c>
      <c r="D50" t="s">
        <v>30</v>
      </c>
      <c r="E50" s="1">
        <v>2010000</v>
      </c>
      <c r="F50" s="2">
        <f t="shared" si="2"/>
        <v>2010000</v>
      </c>
      <c r="H50" s="11" t="s">
        <v>64</v>
      </c>
    </row>
    <row r="51" spans="2:8" x14ac:dyDescent="0.25">
      <c r="B51" t="s">
        <v>61</v>
      </c>
      <c r="C51">
        <v>1</v>
      </c>
      <c r="D51" t="s">
        <v>30</v>
      </c>
      <c r="E51" s="1">
        <v>33000</v>
      </c>
      <c r="F51" s="2">
        <f t="shared" si="2"/>
        <v>33000</v>
      </c>
    </row>
    <row r="52" spans="2:8" x14ac:dyDescent="0.25">
      <c r="F52" s="2">
        <f t="shared" si="2"/>
        <v>0</v>
      </c>
    </row>
    <row r="53" spans="2:8" x14ac:dyDescent="0.25">
      <c r="F53" s="2">
        <f t="shared" si="2"/>
        <v>0</v>
      </c>
    </row>
    <row r="54" spans="2:8" x14ac:dyDescent="0.25">
      <c r="B54" s="6" t="s">
        <v>66</v>
      </c>
      <c r="C54" s="6"/>
      <c r="D54" s="6"/>
      <c r="E54" s="6"/>
      <c r="F54" s="7">
        <f>SUM(F44:F53)</f>
        <v>7285000</v>
      </c>
    </row>
    <row r="56" spans="2:8" x14ac:dyDescent="0.25">
      <c r="B56" s="6" t="s">
        <v>70</v>
      </c>
      <c r="C56" s="6"/>
      <c r="D56" s="6"/>
      <c r="E56" s="6"/>
      <c r="F56" s="7">
        <f>(F41+F54)</f>
        <v>24112673</v>
      </c>
    </row>
  </sheetData>
  <mergeCells count="1">
    <mergeCell ref="B41:E41"/>
  </mergeCells>
  <hyperlinks>
    <hyperlink ref="H7" r:id="rId1" xr:uid="{194F32E1-06B6-4323-808E-1AD1B7793813}"/>
    <hyperlink ref="H25" r:id="rId2" xr:uid="{8C5AB9A1-92E3-4760-91D4-CCB69424D34B}"/>
    <hyperlink ref="H50" r:id="rId3" xr:uid="{9B375C8D-F9FA-46F9-8F71-A65BACE4DB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CAA4-EEA5-4998-97A5-4CF7D483C126}">
  <dimension ref="B3:H14"/>
  <sheetViews>
    <sheetView topLeftCell="B1" workbookViewId="0">
      <selection activeCell="G15" sqref="G15"/>
    </sheetView>
  </sheetViews>
  <sheetFormatPr baseColWidth="10" defaultColWidth="9.140625" defaultRowHeight="15" x14ac:dyDescent="0.25"/>
  <cols>
    <col min="2" max="2" width="26.28515625" customWidth="1"/>
    <col min="5" max="5" width="14.140625" style="1" bestFit="1" customWidth="1"/>
    <col min="6" max="6" width="13.140625" bestFit="1" customWidth="1"/>
    <col min="7" max="7" width="12.5703125" bestFit="1" customWidth="1"/>
  </cols>
  <sheetData>
    <row r="3" spans="2:8" x14ac:dyDescent="0.25">
      <c r="B3" s="6" t="s">
        <v>31</v>
      </c>
      <c r="C3" s="6" t="s">
        <v>32</v>
      </c>
      <c r="D3" s="6" t="s">
        <v>33</v>
      </c>
      <c r="E3" s="7" t="s">
        <v>34</v>
      </c>
      <c r="F3" s="6" t="s">
        <v>35</v>
      </c>
    </row>
    <row r="4" spans="2:8" x14ac:dyDescent="0.25">
      <c r="B4" s="3" t="s">
        <v>0</v>
      </c>
      <c r="C4" s="3"/>
      <c r="D4" s="3"/>
      <c r="E4" s="4"/>
      <c r="F4" s="3"/>
    </row>
    <row r="5" spans="2:8" x14ac:dyDescent="0.25">
      <c r="B5" t="s">
        <v>1</v>
      </c>
      <c r="C5">
        <v>1</v>
      </c>
      <c r="D5" t="s">
        <v>30</v>
      </c>
      <c r="E5" s="1">
        <v>739000</v>
      </c>
      <c r="F5" s="2">
        <f>C5*E5</f>
        <v>739000</v>
      </c>
      <c r="G5">
        <v>101346</v>
      </c>
      <c r="H5" s="11" t="s">
        <v>37</v>
      </c>
    </row>
    <row r="6" spans="2:8" x14ac:dyDescent="0.25">
      <c r="B6" t="s">
        <v>3</v>
      </c>
      <c r="C6">
        <v>1</v>
      </c>
      <c r="D6" t="s">
        <v>30</v>
      </c>
      <c r="E6" s="1">
        <v>360000</v>
      </c>
      <c r="F6" s="2">
        <f t="shared" ref="F6:F10" si="0">C6*E6</f>
        <v>360000</v>
      </c>
      <c r="G6">
        <v>121798</v>
      </c>
      <c r="H6" s="11" t="s">
        <v>36</v>
      </c>
    </row>
    <row r="7" spans="2:8" x14ac:dyDescent="0.25">
      <c r="B7" t="s">
        <v>4</v>
      </c>
      <c r="C7">
        <v>4</v>
      </c>
      <c r="D7" t="s">
        <v>30</v>
      </c>
      <c r="E7" s="1">
        <v>378000</v>
      </c>
      <c r="F7" s="2">
        <f t="shared" si="0"/>
        <v>1512000</v>
      </c>
      <c r="G7">
        <v>122281</v>
      </c>
      <c r="H7" t="s">
        <v>38</v>
      </c>
    </row>
    <row r="8" spans="2:8" x14ac:dyDescent="0.25">
      <c r="B8" t="s">
        <v>5</v>
      </c>
      <c r="C8">
        <v>4</v>
      </c>
      <c r="D8" t="s">
        <v>30</v>
      </c>
      <c r="E8" s="1">
        <v>299000</v>
      </c>
      <c r="F8" s="2">
        <f t="shared" si="0"/>
        <v>1196000</v>
      </c>
      <c r="G8">
        <v>58022</v>
      </c>
      <c r="H8" t="s">
        <v>39</v>
      </c>
    </row>
    <row r="9" spans="2:8" x14ac:dyDescent="0.25">
      <c r="B9" t="s">
        <v>12</v>
      </c>
      <c r="C9">
        <v>1</v>
      </c>
      <c r="D9" t="s">
        <v>30</v>
      </c>
      <c r="E9" s="1">
        <v>510000</v>
      </c>
      <c r="F9" s="2">
        <f t="shared" si="0"/>
        <v>510000</v>
      </c>
      <c r="G9">
        <v>80933</v>
      </c>
      <c r="H9" t="s">
        <v>44</v>
      </c>
    </row>
    <row r="10" spans="2:8" x14ac:dyDescent="0.25">
      <c r="B10" t="s">
        <v>2</v>
      </c>
      <c r="C10">
        <v>1</v>
      </c>
      <c r="D10" t="s">
        <v>30</v>
      </c>
      <c r="E10" s="1">
        <v>571000</v>
      </c>
      <c r="F10" s="2">
        <f t="shared" si="0"/>
        <v>571000</v>
      </c>
      <c r="G10" s="12" t="s">
        <v>75</v>
      </c>
      <c r="H10" t="s">
        <v>72</v>
      </c>
    </row>
    <row r="11" spans="2:8" x14ac:dyDescent="0.25">
      <c r="B11" t="s">
        <v>73</v>
      </c>
      <c r="C11">
        <v>1</v>
      </c>
      <c r="D11" t="s">
        <v>30</v>
      </c>
      <c r="E11" s="1">
        <v>1098000</v>
      </c>
      <c r="F11" s="2">
        <f t="shared" ref="F11" si="1">(C11*E11)</f>
        <v>1098000</v>
      </c>
      <c r="G11">
        <v>70979</v>
      </c>
      <c r="H11" t="s">
        <v>74</v>
      </c>
    </row>
    <row r="12" spans="2:8" x14ac:dyDescent="0.25">
      <c r="B12" s="6" t="s">
        <v>66</v>
      </c>
      <c r="C12" s="6"/>
      <c r="D12" s="6"/>
      <c r="E12" s="6"/>
      <c r="F12" s="7">
        <f>SUM(F5:F11)</f>
        <v>5986000</v>
      </c>
    </row>
    <row r="14" spans="2:8" x14ac:dyDescent="0.25">
      <c r="B14" s="6"/>
      <c r="C14" s="6"/>
      <c r="D14" s="6"/>
      <c r="E14" s="6"/>
      <c r="F14" s="7"/>
    </row>
  </sheetData>
  <hyperlinks>
    <hyperlink ref="H6" r:id="rId1" xr:uid="{AD136777-0FAE-47A3-8C3B-624E31F98E53}"/>
    <hyperlink ref="H5" r:id="rId2" xr:uid="{BED3A431-2A3B-406D-A513-CCF12C32D0F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NISEI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rzayas</dc:creator>
  <cp:lastModifiedBy>rzayas</cp:lastModifiedBy>
  <dcterms:created xsi:type="dcterms:W3CDTF">2015-06-05T18:19:34Z</dcterms:created>
  <dcterms:modified xsi:type="dcterms:W3CDTF">2025-10-15T19:33:43Z</dcterms:modified>
</cp:coreProperties>
</file>